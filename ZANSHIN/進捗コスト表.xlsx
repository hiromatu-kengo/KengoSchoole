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HiromatuKengo\Desktop\ZANSHIN\"/>
    </mc:Choice>
  </mc:AlternateContent>
  <xr:revisionPtr revIDLastSave="0" documentId="8_{0C95D1B1-CB01-4266-8636-5F7FBEC7E003}" xr6:coauthVersionLast="47" xr6:coauthVersionMax="47" xr10:uidLastSave="{00000000-0000-0000-0000-000000000000}"/>
  <bookViews>
    <workbookView xWindow="2805" yWindow="1920" windowWidth="21600" windowHeight="11295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6" i="1"/>
  <c r="K13" i="1" s="1"/>
  <c r="H13" i="1"/>
  <c r="H3" i="1"/>
  <c r="H15" i="1"/>
  <c r="I15" i="1" s="1"/>
  <c r="H14" i="1"/>
  <c r="I14" i="1" s="1"/>
  <c r="I13" i="1"/>
  <c r="H2" i="1"/>
  <c r="H4" i="1" l="1"/>
  <c r="J4" i="1" s="1"/>
  <c r="K14" i="1"/>
  <c r="L14" i="1" s="1"/>
  <c r="K15" i="1"/>
  <c r="L15" i="1" s="1"/>
  <c r="J13" i="1"/>
  <c r="L13" i="1"/>
  <c r="K4" i="1"/>
  <c r="L4" i="1" s="1"/>
  <c r="J15" i="1"/>
  <c r="J14" i="1"/>
</calcChain>
</file>

<file path=xl/sharedStrings.xml><?xml version="1.0" encoding="utf-8"?>
<sst xmlns="http://schemas.openxmlformats.org/spreadsheetml/2006/main" count="41" uniqueCount="34">
  <si>
    <t>1コスト:3時間 (1日は基本2コスト)</t>
  </si>
  <si>
    <t>アルファ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</si>
  <si>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</si>
  <si>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</si>
  <si>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</si>
  <si>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</si>
  <si>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</si>
  <si>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</si>
  <si>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</si>
  <si>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</si>
  <si>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</si>
  <si>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</si>
  <si>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</si>
  <si>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</si>
  <si>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</si>
  <si>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</si>
  <si>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</si>
  <si>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</si>
  <si>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</si>
  <si>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</si>
  <si>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・クラス設計</t>
  </si>
  <si>
    <t>未完</t>
  </si>
  <si>
    <t>・ライブラリ設計</t>
  </si>
  <si>
    <t>・アルファ素材集め</t>
  </si>
  <si>
    <t>　ー　モデル</t>
  </si>
  <si>
    <t>　ー　モーション</t>
  </si>
  <si>
    <t>　ー　UI素材</t>
  </si>
  <si>
    <t>　ー　SE</t>
  </si>
  <si>
    <t>　ー　BGM</t>
  </si>
  <si>
    <t>　ー　マップ素材</t>
  </si>
  <si>
    <t>　ー　エフェクト</t>
  </si>
  <si>
    <t>未完</t>
    <phoneticPr fontId="1"/>
  </si>
  <si>
    <t>・プレイヤー操作</t>
    <rPh sb="6" eb="8">
      <t>ソウサ</t>
    </rPh>
    <phoneticPr fontId="1"/>
  </si>
  <si>
    <t>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</si>
</sst>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000000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F8CBAD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7" borderId="1" xfId="0" applyFont="1" applyFill="1" applyBorder="1"/>
    <xf numFmtId="0" fontId="2" fillId="3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5" borderId="1" xfId="0" applyFill="1" applyBorder="1"/>
    <xf numFmtId="0" fontId="0" fillId="7" borderId="2" xfId="0" applyFill="1" applyBorder="1"/>
    <xf numFmtId="0" fontId="0" fillId="0" borderId="3" xfId="0" applyBorder="1"/>
    <xf numFmtId="0" fontId="0" fillId="0" borderId="1" xfId="0" applyFill="1" applyBorder="1"/>
    <xf numFmtId="0" fontId="3" fillId="0" borderId="1" xfId="0" applyFont="1" applyFill="1" applyBorder="1"/>
    <xf numFmtId="0" fontId="4" fillId="11" borderId="1" xfId="0" applyFont="1" applyFill="1" applyBorder="1"/>
    <xf numFmtId="0" fontId="4" fillId="0" borderId="1" xfId="0" applyFont="1" applyBorder="1"/>
    <xf numFmtId="0" fontId="4" fillId="12" borderId="1" xfId="0" applyFont="1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3"/>
  <sheetViews>
    <sheetView tabSelected="1" topLeftCell="A4" zoomScaleNormal="100" workbookViewId="0">
      <selection activeCell="B14" sqref="B14"/>
    </sheetView>
  </sheetViews>
  <sheetFormatPr defaultRowHeight="18.75"/>
  <cols>
    <col min="1" max="1" width="9.25" customWidth="1"/>
    <col min="2" max="2" width="37.75" bestFit="1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1</v>
      </c>
      <c r="C2" s="5" t="s">
        <v>2</v>
      </c>
      <c r="D2" s="6" t="s">
        <v>3</v>
      </c>
      <c r="E2" s="7" t="s">
        <v>4</v>
      </c>
      <c r="G2" s="8" t="s">
        <v>5</v>
      </c>
      <c r="H2">
        <f>SUM(C3:C83)</f>
        <v>29</v>
      </c>
    </row>
    <row r="3" spans="1:12">
      <c r="B3" s="18" t="s">
        <v>20</v>
      </c>
      <c r="C3" s="18">
        <v>3</v>
      </c>
      <c r="D3" s="18"/>
      <c r="E3" s="18" t="s">
        <v>31</v>
      </c>
      <c r="G3" s="9" t="s">
        <v>6</v>
      </c>
      <c r="H3">
        <f>SUMIF(E3:E83,"完了",C3:C83)</f>
        <v>0</v>
      </c>
      <c r="K3" t="s">
        <v>7</v>
      </c>
      <c r="L3" t="s">
        <v>8</v>
      </c>
    </row>
    <row r="4" spans="1:12">
      <c r="B4" s="19" t="s">
        <v>22</v>
      </c>
      <c r="C4" s="19">
        <v>8</v>
      </c>
      <c r="D4" s="19"/>
      <c r="E4" s="19" t="s">
        <v>31</v>
      </c>
      <c r="G4" s="10" t="s">
        <v>9</v>
      </c>
      <c r="H4" s="2">
        <f ca="1">NETWORKDAYS(H5,H6)</f>
        <v>472</v>
      </c>
      <c r="I4" t="s">
        <v>10</v>
      </c>
      <c r="J4" s="3">
        <f ca="1" xml:space="preserve"> H3 / H4</f>
        <v>0</v>
      </c>
      <c r="K4" s="2">
        <f ca="1">_xlfn.DAYS(H6,H5)</f>
        <v>659</v>
      </c>
      <c r="L4" s="3">
        <f ca="1">H3/K4</f>
        <v>0</v>
      </c>
    </row>
    <row r="5" spans="1:12">
      <c r="B5" s="19" t="s">
        <v>23</v>
      </c>
      <c r="C5" s="19"/>
      <c r="D5" s="19"/>
      <c r="E5" s="19"/>
      <c r="G5" s="11" t="s">
        <v>11</v>
      </c>
      <c r="H5" s="1">
        <f>DATE(2024,9,30)</f>
        <v>45565</v>
      </c>
    </row>
    <row r="6" spans="1:12">
      <c r="B6" s="19" t="s">
        <v>24</v>
      </c>
      <c r="C6" s="19">
        <v>2</v>
      </c>
      <c r="D6" s="19"/>
      <c r="E6" s="19" t="s">
        <v>31</v>
      </c>
      <c r="G6" s="12" t="s">
        <v>12</v>
      </c>
      <c r="H6" s="1">
        <f ca="1">TODAY()</f>
        <v>46224</v>
      </c>
    </row>
    <row r="7" spans="1:12">
      <c r="B7" s="20" t="s">
        <v>25</v>
      </c>
      <c r="C7" s="20">
        <v>5</v>
      </c>
      <c r="D7" s="20"/>
      <c r="E7" s="20" t="s">
        <v>21</v>
      </c>
    </row>
    <row r="8" spans="1:12">
      <c r="B8" s="18" t="s">
        <v>26</v>
      </c>
      <c r="C8" s="18">
        <v>2</v>
      </c>
      <c r="D8" s="18"/>
      <c r="E8" s="18" t="s">
        <v>21</v>
      </c>
    </row>
    <row r="9" spans="1:12">
      <c r="B9" s="18" t="s">
        <v>27</v>
      </c>
      <c r="C9" s="18">
        <v>2</v>
      </c>
      <c r="D9" s="18"/>
      <c r="E9" s="18" t="s">
        <v>21</v>
      </c>
    </row>
    <row r="10" spans="1:12">
      <c r="B10" s="18" t="s">
        <v>28</v>
      </c>
      <c r="C10" s="18">
        <v>1</v>
      </c>
      <c r="D10" s="18"/>
      <c r="E10" s="18" t="s">
        <v>21</v>
      </c>
    </row>
    <row r="11" spans="1:12">
      <c r="B11" s="18" t="s">
        <v>29</v>
      </c>
      <c r="C11" s="18">
        <v>1</v>
      </c>
      <c r="D11" s="18"/>
      <c r="E11" s="18" t="s">
        <v>21</v>
      </c>
    </row>
    <row r="12" spans="1:12">
      <c r="B12" s="20" t="s">
        <v>30</v>
      </c>
      <c r="C12" s="20">
        <v>5</v>
      </c>
      <c r="D12" s="20"/>
      <c r="E12" s="20" t="s">
        <v>21</v>
      </c>
      <c r="I12" t="s">
        <v>13</v>
      </c>
      <c r="J12" t="s">
        <v>14</v>
      </c>
      <c r="K12" t="s">
        <v>15</v>
      </c>
      <c r="L12" t="s">
        <v>16</v>
      </c>
    </row>
    <row r="13" spans="1:12">
      <c r="B13" s="16" t="s">
        <v>32</v>
      </c>
      <c r="C13" s="16"/>
      <c r="D13" s="16"/>
      <c r="E13" s="16"/>
      <c r="G13" s="8" t="s">
        <v>17</v>
      </c>
      <c r="H13" s="1">
        <f>DATE(2024,12,20)</f>
        <v>45646</v>
      </c>
      <c r="I13" s="2">
        <f ca="1">NETWORKDAYS(TODAY(),H13)</f>
        <v>-413</v>
      </c>
      <c r="J13" s="3">
        <f ca="1">($H$2 - $H$3) / I13</f>
        <v>-7.0217917675544791E-2</v>
      </c>
      <c r="K13">
        <f ca="1">_xlfn.DAYS(H13,$H$6)</f>
        <v>-578</v>
      </c>
      <c r="L13" s="3">
        <f ca="1">($H$2 - $H$3) / K13</f>
        <v>-5.0173010380622836E-2</v>
      </c>
    </row>
    <row r="14" spans="1:12">
      <c r="B14" s="16" t="s">
        <v>33</v>
      </c>
      <c r="C14" s="16"/>
      <c r="D14" s="16"/>
      <c r="E14" s="16"/>
      <c r="G14" s="13" t="s">
        <v>18</v>
      </c>
      <c r="H14" s="1">
        <f>DATE(2025,1,17)</f>
        <v>45674</v>
      </c>
      <c r="I14" s="2">
        <f t="shared" ref="I14:I15" ca="1" si="0">NETWORKDAYS(TODAY(),H14)</f>
        <v>-393</v>
      </c>
      <c r="J14" s="3">
        <f ca="1">($H$2 - $H$3) / I14</f>
        <v>-7.3791348600508899E-2</v>
      </c>
      <c r="K14">
        <f t="shared" ref="K14:K15" ca="1" si="1">_xlfn.DAYS(H14,$H$6)</f>
        <v>-550</v>
      </c>
      <c r="L14" s="3">
        <f ca="1">($H$2 - $H$3) / K14</f>
        <v>-5.2727272727272727E-2</v>
      </c>
    </row>
    <row r="15" spans="1:12">
      <c r="B15" s="16"/>
      <c r="C15" s="16"/>
      <c r="D15" s="16"/>
      <c r="E15" s="16"/>
      <c r="G15" s="14" t="s">
        <v>19</v>
      </c>
      <c r="H15" s="1">
        <f>DATE(2025,2,3)</f>
        <v>45691</v>
      </c>
      <c r="I15" s="2">
        <f t="shared" ca="1" si="0"/>
        <v>-382</v>
      </c>
      <c r="J15" s="3">
        <f ca="1">($H$2 - $H$3) / I15</f>
        <v>-7.5916230366492143E-2</v>
      </c>
      <c r="K15">
        <f t="shared" ca="1" si="1"/>
        <v>-533</v>
      </c>
      <c r="L15" s="3">
        <f ca="1">($H$2 - $H$3) / K15</f>
        <v>-5.4409005628517824E-2</v>
      </c>
    </row>
    <row r="16" spans="1:12">
      <c r="B16" s="16"/>
      <c r="C16" s="16"/>
      <c r="D16" s="16"/>
      <c r="E16" s="16"/>
      <c r="G16" s="15"/>
      <c r="H16" s="1"/>
      <c r="I16" s="2"/>
      <c r="J16" s="3"/>
      <c r="L16" s="3"/>
    </row>
    <row r="17" spans="2:5">
      <c r="B17" s="16"/>
      <c r="C17" s="16"/>
      <c r="D17" s="16"/>
      <c r="E17" s="16"/>
    </row>
    <row r="18" spans="2:5">
      <c r="B18" s="16"/>
      <c r="C18" s="16"/>
      <c r="D18" s="16"/>
      <c r="E18" s="16"/>
    </row>
    <row r="19" spans="2:5">
      <c r="B19" s="16"/>
      <c r="C19" s="16"/>
      <c r="D19" s="16"/>
      <c r="E19" s="16"/>
    </row>
    <row r="20" spans="2:5">
      <c r="B20" s="16"/>
      <c r="C20" s="16"/>
      <c r="D20" s="16"/>
      <c r="E20" s="16"/>
    </row>
    <row r="21" spans="2:5">
      <c r="B21" s="16"/>
      <c r="C21" s="16"/>
      <c r="D21" s="16"/>
      <c r="E21" s="16"/>
    </row>
    <row r="22" spans="2:5">
      <c r="B22" s="16"/>
      <c r="C22" s="16"/>
      <c r="D22" s="16"/>
      <c r="E22" s="16"/>
    </row>
    <row r="23" spans="2:5">
      <c r="B23" s="16"/>
      <c r="C23" s="16"/>
      <c r="D23" s="16"/>
      <c r="E23" s="16"/>
    </row>
    <row r="24" spans="2:5">
      <c r="B24" s="16"/>
      <c r="C24" s="16"/>
      <c r="D24" s="16"/>
      <c r="E24" s="16"/>
    </row>
    <row r="25" spans="2:5">
      <c r="B25" s="16"/>
      <c r="C25" s="16"/>
      <c r="D25" s="16"/>
      <c r="E25" s="16"/>
    </row>
    <row r="26" spans="2:5">
      <c r="B26" s="16"/>
      <c r="C26" s="16"/>
      <c r="D26" s="16"/>
      <c r="E26" s="16"/>
    </row>
    <row r="27" spans="2:5">
      <c r="B27" s="16"/>
      <c r="C27" s="16"/>
      <c r="D27" s="16"/>
      <c r="E27" s="16"/>
    </row>
    <row r="28" spans="2:5">
      <c r="B28" s="16"/>
      <c r="C28" s="16"/>
      <c r="D28" s="16"/>
      <c r="E28" s="16"/>
    </row>
    <row r="29" spans="2:5">
      <c r="B29" s="16"/>
      <c r="C29" s="16"/>
      <c r="D29" s="16"/>
      <c r="E29" s="16"/>
    </row>
    <row r="30" spans="2:5">
      <c r="B30" s="16"/>
      <c r="C30" s="16"/>
      <c r="D30" s="16"/>
      <c r="E30" s="16"/>
    </row>
    <row r="31" spans="2:5">
      <c r="B31" s="16"/>
      <c r="C31" s="16"/>
      <c r="D31" s="16"/>
      <c r="E31" s="16"/>
    </row>
    <row r="32" spans="2:5">
      <c r="B32" s="16"/>
      <c r="C32" s="16"/>
      <c r="D32" s="16"/>
      <c r="E32" s="16"/>
    </row>
    <row r="33" spans="2:5">
      <c r="B33" s="16"/>
      <c r="C33" s="16"/>
      <c r="D33" s="16"/>
      <c r="E33" s="16"/>
    </row>
    <row r="34" spans="2:5">
      <c r="B34" s="16"/>
      <c r="C34" s="16"/>
      <c r="D34" s="16"/>
      <c r="E34" s="16"/>
    </row>
    <row r="35" spans="2:5">
      <c r="B35" s="16"/>
      <c r="C35" s="16"/>
      <c r="D35" s="16"/>
      <c r="E35" s="16"/>
    </row>
    <row r="36" spans="2:5">
      <c r="B36" s="16"/>
      <c r="C36" s="16"/>
      <c r="D36" s="16"/>
      <c r="E36" s="16"/>
    </row>
    <row r="37" spans="2:5">
      <c r="B37" s="16"/>
      <c r="C37" s="16"/>
      <c r="D37" s="16"/>
      <c r="E37" s="16"/>
    </row>
    <row r="38" spans="2:5">
      <c r="B38" s="16"/>
      <c r="C38" s="16"/>
      <c r="D38" s="16"/>
      <c r="E38" s="16"/>
    </row>
    <row r="39" spans="2:5">
      <c r="B39" s="16"/>
      <c r="C39" s="16"/>
      <c r="D39" s="16"/>
      <c r="E39" s="16"/>
    </row>
    <row r="40" spans="2:5">
      <c r="B40" s="16"/>
      <c r="C40" s="16"/>
      <c r="D40" s="16"/>
      <c r="E40" s="16"/>
    </row>
    <row r="41" spans="2:5">
      <c r="B41" s="16"/>
      <c r="C41" s="16"/>
      <c r="D41" s="16"/>
      <c r="E41" s="16"/>
    </row>
    <row r="42" spans="2:5">
      <c r="B42" s="16"/>
      <c r="C42" s="16"/>
      <c r="D42" s="16"/>
      <c r="E42" s="16"/>
    </row>
    <row r="43" spans="2:5">
      <c r="B43" s="16"/>
      <c r="C43" s="16"/>
      <c r="D43" s="16"/>
      <c r="E43" s="16"/>
    </row>
    <row r="44" spans="2:5">
      <c r="B44" s="16"/>
      <c r="C44" s="16"/>
      <c r="D44" s="16"/>
      <c r="E44" s="16"/>
    </row>
    <row r="45" spans="2:5">
      <c r="B45" s="16"/>
      <c r="C45" s="16"/>
      <c r="D45" s="16"/>
      <c r="E45" s="16"/>
    </row>
    <row r="46" spans="2:5">
      <c r="B46" s="16"/>
      <c r="C46" s="16"/>
      <c r="D46" s="16"/>
      <c r="E46" s="16"/>
    </row>
    <row r="47" spans="2:5">
      <c r="B47" s="16"/>
      <c r="C47" s="16"/>
      <c r="D47" s="16"/>
      <c r="E47" s="16"/>
    </row>
    <row r="48" spans="2:5">
      <c r="B48" s="16"/>
      <c r="C48" s="16"/>
      <c r="D48" s="16"/>
      <c r="E48" s="16"/>
    </row>
    <row r="49" spans="2:5">
      <c r="B49" s="16"/>
      <c r="C49" s="16"/>
      <c r="D49" s="16"/>
      <c r="E49" s="16"/>
    </row>
    <row r="50" spans="2:5">
      <c r="B50" s="16"/>
      <c r="C50" s="16"/>
      <c r="D50" s="16"/>
      <c r="E50" s="16"/>
    </row>
    <row r="51" spans="2:5">
      <c r="B51" s="16"/>
      <c r="C51" s="16"/>
      <c r="D51" s="16"/>
      <c r="E51" s="16"/>
    </row>
    <row r="52" spans="2:5">
      <c r="B52" s="16"/>
      <c r="C52" s="16"/>
      <c r="D52" s="16"/>
      <c r="E52" s="16"/>
    </row>
    <row r="53" spans="2:5">
      <c r="B53" s="16"/>
      <c r="C53" s="16"/>
      <c r="D53" s="16"/>
      <c r="E53" s="16"/>
    </row>
    <row r="54" spans="2:5">
      <c r="B54" s="16"/>
      <c r="C54" s="16"/>
      <c r="D54" s="16"/>
      <c r="E54" s="16"/>
    </row>
    <row r="55" spans="2:5">
      <c r="B55" s="16"/>
      <c r="C55" s="16"/>
      <c r="D55" s="16"/>
      <c r="E55" s="16"/>
    </row>
    <row r="56" spans="2:5">
      <c r="B56" s="16"/>
      <c r="C56" s="16"/>
      <c r="D56" s="16"/>
      <c r="E56" s="16"/>
    </row>
    <row r="57" spans="2:5">
      <c r="B57" s="16"/>
      <c r="C57" s="16"/>
      <c r="D57" s="16"/>
      <c r="E57" s="16"/>
    </row>
    <row r="58" spans="2:5">
      <c r="B58" s="16"/>
      <c r="C58" s="16"/>
      <c r="D58" s="16"/>
      <c r="E58" s="16"/>
    </row>
    <row r="59" spans="2:5">
      <c r="B59" s="16"/>
      <c r="C59" s="16"/>
      <c r="D59" s="16"/>
      <c r="E59" s="16"/>
    </row>
    <row r="60" spans="2:5">
      <c r="B60" s="16"/>
      <c r="C60" s="16"/>
      <c r="D60" s="16"/>
      <c r="E60" s="16"/>
    </row>
    <row r="61" spans="2:5">
      <c r="B61" s="16"/>
      <c r="C61" s="16"/>
      <c r="D61" s="16"/>
      <c r="E61" s="16"/>
    </row>
    <row r="62" spans="2:5">
      <c r="B62" s="16"/>
      <c r="C62" s="16"/>
      <c r="D62" s="16"/>
      <c r="E62" s="16"/>
    </row>
    <row r="63" spans="2:5">
      <c r="B63" s="16"/>
      <c r="C63" s="16"/>
      <c r="D63" s="16"/>
      <c r="E63" s="16"/>
    </row>
    <row r="64" spans="2:5">
      <c r="B64" s="16"/>
      <c r="C64" s="16"/>
      <c r="D64" s="16"/>
      <c r="E64" s="16"/>
    </row>
    <row r="65" spans="2:7">
      <c r="B65" s="16"/>
      <c r="C65" s="16"/>
      <c r="D65" s="16"/>
      <c r="E65" s="16"/>
      <c r="G65" s="1"/>
    </row>
    <row r="66" spans="2:7">
      <c r="B66" s="16"/>
      <c r="C66" s="16"/>
      <c r="D66" s="16"/>
      <c r="E66" s="16"/>
      <c r="G66" s="1"/>
    </row>
    <row r="67" spans="2:7">
      <c r="B67" s="16"/>
      <c r="C67" s="16"/>
      <c r="D67" s="16"/>
      <c r="E67" s="16"/>
      <c r="G67" s="1"/>
    </row>
    <row r="68" spans="2:7">
      <c r="B68" s="16"/>
      <c r="C68" s="16"/>
      <c r="D68" s="16"/>
      <c r="E68" s="16"/>
      <c r="G68" s="1"/>
    </row>
    <row r="69" spans="2:7">
      <c r="B69" s="16"/>
      <c r="C69" s="16"/>
      <c r="D69" s="16"/>
      <c r="E69" s="16"/>
    </row>
    <row r="70" spans="2:7">
      <c r="B70" s="16"/>
      <c r="C70" s="16"/>
      <c r="D70" s="16"/>
      <c r="E70" s="16"/>
    </row>
    <row r="71" spans="2:7">
      <c r="B71" s="16"/>
      <c r="C71" s="16"/>
      <c r="D71" s="16"/>
      <c r="E71" s="16"/>
    </row>
    <row r="72" spans="2:7">
      <c r="B72" s="16"/>
      <c r="C72" s="16"/>
      <c r="D72" s="16"/>
      <c r="E72" s="16"/>
    </row>
    <row r="73" spans="2:7">
      <c r="B73" s="16"/>
      <c r="C73" s="16"/>
      <c r="D73" s="16"/>
      <c r="E73" s="16"/>
    </row>
    <row r="74" spans="2:7">
      <c r="B74" s="16"/>
      <c r="C74" s="16"/>
      <c r="D74" s="16"/>
      <c r="E74" s="16"/>
    </row>
    <row r="75" spans="2:7">
      <c r="B75" s="16"/>
      <c r="C75" s="16"/>
      <c r="D75" s="16"/>
      <c r="E75" s="16"/>
    </row>
    <row r="76" spans="2:7">
      <c r="B76" s="17"/>
      <c r="C76" s="17"/>
      <c r="D76" s="17"/>
      <c r="E76" s="17"/>
    </row>
    <row r="77" spans="2:7">
      <c r="B77" s="16"/>
      <c r="C77" s="16"/>
      <c r="D77" s="16"/>
      <c r="E77" s="16"/>
    </row>
    <row r="78" spans="2:7">
      <c r="B78" s="16"/>
      <c r="C78" s="16"/>
      <c r="D78" s="16"/>
      <c r="E78" s="16"/>
    </row>
    <row r="79" spans="2:7">
      <c r="B79" s="16"/>
      <c r="C79" s="16"/>
      <c r="D79" s="16"/>
      <c r="E79" s="16"/>
    </row>
    <row r="80" spans="2:7">
      <c r="B80" s="16"/>
      <c r="C80" s="16"/>
      <c r="D80" s="16"/>
      <c r="E80" s="16"/>
    </row>
    <row r="81" spans="2:5">
      <c r="B81" s="16"/>
      <c r="C81" s="16"/>
      <c r="D81" s="16"/>
      <c r="E81" s="16"/>
    </row>
    <row r="82" spans="2:5">
      <c r="B82" s="16"/>
      <c r="C82" s="16"/>
      <c r="D82" s="16"/>
      <c r="E82" s="16"/>
    </row>
    <row r="83" spans="2:5">
      <c r="B83" s="16"/>
      <c r="C83" s="16"/>
      <c r="D83" s="16"/>
      <c r="E83" s="16"/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Props1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廣松　健吾</cp:lastModifiedBy>
  <cp:revision/>
  <dcterms:created xsi:type="dcterms:W3CDTF">2015-06-05T18:19:34Z</dcterms:created>
  <dcterms:modified xsi:type="dcterms:W3CDTF">2026-07-21T03:41:06Z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